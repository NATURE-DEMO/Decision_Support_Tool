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2\level3\"/>
    </mc:Choice>
  </mc:AlternateContent>
  <xr:revisionPtr revIDLastSave="0" documentId="13_ncr:1_{4CFC10DC-AF02-417B-BFD5-05C084A73CA8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7" i="1"/>
  <c r="F7" i="1"/>
</calcChain>
</file>

<file path=xl/sharedStrings.xml><?xml version="1.0" encoding="utf-8"?>
<sst xmlns="http://schemas.openxmlformats.org/spreadsheetml/2006/main" count="27" uniqueCount="24">
  <si>
    <t>Climate Drivers</t>
  </si>
  <si>
    <t>Type – Hazard</t>
  </si>
  <si>
    <t>Indicator</t>
  </si>
  <si>
    <t>Baseline</t>
  </si>
  <si>
    <t>Mid-term (RCP4.5 / RCP8.5)</t>
  </si>
  <si>
    <t>Long-term (RCP4.5 / RCP8.5)</t>
  </si>
  <si>
    <t>PRI</t>
  </si>
  <si>
    <t>Temperature-related</t>
  </si>
  <si>
    <t>Chronic – Extreme heat</t>
  </si>
  <si>
    <t>Monthly mean temperature ($^{\circ}$C)</t>
  </si>
  <si>
    <t>Acute – Heat waves</t>
  </si>
  <si>
    <t>Days/year $T_{max} \geq 40^{\circ}$C</t>
  </si>
  <si>
    <t>Water-related</t>
  </si>
  <si>
    <t>Chronic – Reduced humidity</t>
  </si>
  <si>
    <t>Days RH &lt; 40%</t>
  </si>
  <si>
    <t>Chronic – Drought</t>
  </si>
  <si>
    <t>SPEI (probability of severe drought)</t>
  </si>
  <si>
    <t>Chronic – Low precipitation</t>
  </si>
  <si>
    <t>Monthly mean precipitation (mm)</t>
  </si>
  <si>
    <t>–2.57 / –2.31</t>
  </si>
  <si>
    <t>–2.85 / –2.5</t>
  </si>
  <si>
    <t>Solar-related</t>
  </si>
  <si>
    <t>Acute – Increased solar radiation</t>
  </si>
  <si>
    <t>Solar intensity ($W/m^2$)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</si>
</sst>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RowHeight="14.4" x14ac:dyDescent="0.3"/>
  <cols>
    <col min="6" max="6" width="14.109375" bestFit="1" customWidth="1"/>
  </cols>
  <sheetData>
    <row r="1" spans="1:7" ht="8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83.4" thickBot="1" x14ac:dyDescent="0.35">
      <c r="A2" s="1" t="s">
        <v>7</v>
      </c>
      <c r="B2" s="3" t="s">
        <v>8</v>
      </c>
      <c r="C2" s="3" t="s">
        <v>9</v>
      </c>
      <c r="D2" s="3">
        <v>10.199999999999999</v>
      </c>
      <c r="E2" s="3">
        <f>6.63% / 8.16%</f>
        <v>0.81249999999999989</v>
      </c>
      <c r="F2" s="3">
        <f>7.23% / 9.9%</f>
        <v>0.73030303030303034</v>
      </c>
      <c r="G2" s="4">
        <v>3</v>
      </c>
    </row>
    <row r="3" spans="1:7" ht="97.2" thickBot="1" x14ac:dyDescent="0.35">
      <c r="A3" s="1" t="s">
        <v>7</v>
      </c>
      <c r="B3" s="3" t="s">
        <v>10</v>
      </c>
      <c r="C3" s="3" t="s">
        <v>11</v>
      </c>
      <c r="D3" s="3">
        <v>0.01</v>
      </c>
      <c r="E3" s="3">
        <f>0.01 / 0.02</f>
        <v>0.5</v>
      </c>
      <c r="F3" s="3">
        <f>0.01 / 0.21</f>
        <v>4.7619047619047623E-2</v>
      </c>
      <c r="G3" s="4">
        <v>3</v>
      </c>
    </row>
    <row r="4" spans="1:7" ht="83.4" thickBot="1" x14ac:dyDescent="0.35">
      <c r="A4" s="1" t="s">
        <v>12</v>
      </c>
      <c r="B4" s="3" t="s">
        <v>13</v>
      </c>
      <c r="C4" s="3" t="s">
        <v>14</v>
      </c>
      <c r="D4" s="3">
        <v>0.8</v>
      </c>
      <c r="E4" s="3">
        <f>0.84 / 7.5</f>
        <v>0.112</v>
      </c>
      <c r="F4" s="3">
        <f>0.85 / 9.05</f>
        <v>9.3922651933701654E-2</v>
      </c>
      <c r="G4" s="4">
        <v>3</v>
      </c>
    </row>
    <row r="5" spans="1:7" ht="83.4" thickBot="1" x14ac:dyDescent="0.35">
      <c r="A5" s="1" t="s">
        <v>12</v>
      </c>
      <c r="B5" s="3" t="s">
        <v>15</v>
      </c>
      <c r="C5" s="3" t="s">
        <v>16</v>
      </c>
      <c r="D5" s="3">
        <v>7.0000000000000007E-2</v>
      </c>
      <c r="E5" s="3">
        <f>0.07 / 0.07</f>
        <v>1</v>
      </c>
      <c r="F5" s="3">
        <f>0.08 / 0.07</f>
        <v>1.1428571428571428</v>
      </c>
      <c r="G5" s="4">
        <v>3</v>
      </c>
    </row>
    <row r="6" spans="1:7" ht="69.599999999999994" thickBot="1" x14ac:dyDescent="0.35">
      <c r="A6" s="1" t="s">
        <v>12</v>
      </c>
      <c r="B6" s="3" t="s">
        <v>17</v>
      </c>
      <c r="C6" s="3" t="s">
        <v>18</v>
      </c>
      <c r="D6" s="3">
        <v>80</v>
      </c>
      <c r="E6" s="3" t="s">
        <v>19</v>
      </c>
      <c r="F6" s="3" t="s">
        <v>20</v>
      </c>
      <c r="G6" s="4">
        <v>2</v>
      </c>
    </row>
    <row r="7" spans="1:7" ht="97.2" thickBot="1" x14ac:dyDescent="0.35">
      <c r="A7" s="1" t="s">
        <v>21</v>
      </c>
      <c r="B7" s="3" t="s">
        <v>22</v>
      </c>
      <c r="C7" s="3" t="s">
        <v>23</v>
      </c>
      <c r="D7" s="3">
        <v>341</v>
      </c>
      <c r="E7" s="3">
        <f>0.6 / 0.9</f>
        <v>0.66666666666666663</v>
      </c>
      <c r="F7" s="3">
        <f>0.8 / 0.8</f>
        <v>1</v>
      </c>
      <c r="G7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2026-04-21T13:09:42Z</dcterms:modified>
</cp:coreProperties>
</file>